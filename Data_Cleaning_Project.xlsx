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4897a19c7d8e5c/Desktop/Ayad-portfolio/data cleaning/"/>
    </mc:Choice>
  </mc:AlternateContent>
  <xr:revisionPtr revIDLastSave="0" documentId="14_{68545A00-1F6B-42B8-B2C3-E43DD7B2B09C}" xr6:coauthVersionLast="47" xr6:coauthVersionMax="47" xr10:uidLastSave="{00000000-0000-0000-0000-000000000000}"/>
  <bookViews>
    <workbookView xWindow="-105" yWindow="0" windowWidth="10455" windowHeight="11625" activeTab="1" xr2:uid="{00000000-000D-0000-FFFF-FFFF00000000}"/>
  </bookViews>
  <sheets>
    <sheet name="Raw Data" sheetId="1" r:id="rId1"/>
    <sheet name="Clean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" l="1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1"/>
  <c r="G4" i="1"/>
  <c r="G5" i="1"/>
  <c r="G6" i="1"/>
  <c r="G7" i="1"/>
  <c r="G8" i="1"/>
  <c r="G9" i="1"/>
  <c r="G10" i="1"/>
  <c r="G2" i="1"/>
  <c r="E3" i="1"/>
  <c r="E4" i="1"/>
  <c r="E5" i="1"/>
  <c r="E6" i="1"/>
  <c r="E7" i="1"/>
  <c r="E8" i="1"/>
  <c r="E9" i="1"/>
  <c r="E10" i="1"/>
  <c r="E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<sst xmlns="http://schemas.openxmlformats.org/spreadsheetml/2006/main" count="88" uniqueCount="43">
  <si>
    <t>Customer ID</t>
  </si>
  <si>
    <t>Name</t>
  </si>
  <si>
    <t>Email</t>
  </si>
  <si>
    <t>Phone</t>
  </si>
  <si>
    <t>Country</t>
  </si>
  <si>
    <t>Order Amount</t>
  </si>
  <si>
    <t xml:space="preserve"> john smith</t>
  </si>
  <si>
    <t>johnsmith@gmail.com</t>
  </si>
  <si>
    <t>+961 70 123 456</t>
  </si>
  <si>
    <t>Lebanon</t>
  </si>
  <si>
    <t>SARAH MILLER</t>
  </si>
  <si>
    <t>sarah.miller@gmail.com</t>
  </si>
  <si>
    <t>+1 202 555 0185</t>
  </si>
  <si>
    <t>USA</t>
  </si>
  <si>
    <t>michael brown</t>
  </si>
  <si>
    <t xml:space="preserve"> michaelbrown@gmail.com</t>
  </si>
  <si>
    <t>+44 7700 900123</t>
  </si>
  <si>
    <t>UK</t>
  </si>
  <si>
    <t>Sarah Miller</t>
  </si>
  <si>
    <t>david wilson</t>
  </si>
  <si>
    <t>davidwilson@gmail.com</t>
  </si>
  <si>
    <t>+971 50 123 4567</t>
  </si>
  <si>
    <t>UAE</t>
  </si>
  <si>
    <t xml:space="preserve"> EMMA TAYLOR </t>
  </si>
  <si>
    <t>emma.taylor@gmail.com</t>
  </si>
  <si>
    <t>+33 6 12 34 56 78</t>
  </si>
  <si>
    <t>France</t>
  </si>
  <si>
    <t>daniel smith</t>
  </si>
  <si>
    <t>danielsmith@gmail.com</t>
  </si>
  <si>
    <t>+49 151 12345678</t>
  </si>
  <si>
    <t>Germany</t>
  </si>
  <si>
    <t>OLIVIA MARTIN</t>
  </si>
  <si>
    <t>oliviamartin@gmail.com</t>
  </si>
  <si>
    <t>+39 333 1234567</t>
  </si>
  <si>
    <t>Italy</t>
  </si>
  <si>
    <t>william johnson</t>
  </si>
  <si>
    <t>williamjohnson@gmail.com</t>
  </si>
  <si>
    <t>+1 305 555 0198</t>
  </si>
  <si>
    <t>Clean Name</t>
  </si>
  <si>
    <t>Clean Email</t>
  </si>
  <si>
    <t>Clean Phone</t>
  </si>
  <si>
    <t>DATA CLEANING PROJECT</t>
  </si>
  <si>
    <t>Cleaned and standardized customer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</si>
</sst>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DFDC2-6144-4CB6-9B9D-D14423EF5873}" name="Table1" displayName="Table1" ref="A3:I11" totalsRowShown="0">
  <autoFilter ref="A3:I11" xr:uid="{E12DFDC2-6144-4CB6-9B9D-D14423EF5873}"/>
  <tableColumns count="9">
    <tableColumn id="1" xr3:uid="{3C705E49-8CC7-4FA1-8D22-F161D14F5278}" name="Customer ID"/>
    <tableColumn id="2" xr3:uid="{82BE9FEA-82AD-4A0E-B2CA-C5286D630425}" name="Name"/>
    <tableColumn id="3" xr3:uid="{8F81D4E5-1CB9-4919-BF59-35A5E4F9D813}" name="Clean Name">
      <calculatedColumnFormula>PROPER(TRIM(B4))</calculatedColumnFormula>
    </tableColumn>
    <tableColumn id="4" xr3:uid="{698EE48F-4961-4155-A792-96EC7C6AE3A1}" name="Email"/>
    <tableColumn id="5" xr3:uid="{0F5B0610-5B01-4C97-B17D-66BA2D67D5D7}" name="Clean Email">
      <calculatedColumnFormula>TRIM(D4)</calculatedColumnFormula>
    </tableColumn>
    <tableColumn id="6" xr3:uid="{D339FECC-3118-436C-902E-539BE9E905F4}" name="Phone"/>
    <tableColumn id="7" xr3:uid="{B0C41287-FF31-45EB-91A9-1B4927EE8FA5}" name="Clean Phone">
      <calculatedColumnFormula>TRIM(F4)</calculatedColumnFormula>
    </tableColumn>
    <tableColumn id="8" xr3:uid="{A656A924-EC3D-452E-AA80-437D1F7FDDD5}" name="Country"/>
    <tableColumn id="9" xr3:uid="{F90E49AC-95B2-49B7-8E9A-F4F5093E7E79}" name="Order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opLeftCell="D1" workbookViewId="0">
      <selection activeCell="D18" sqref="D18"/>
    </sheetView>
  </sheetViews>
  <sheetFormatPr defaultRowHeight="15" x14ac:dyDescent="0.25"/>
  <cols>
    <col min="1" max="1" width="11.85546875" bestFit="1" customWidth="1"/>
    <col min="2" max="2" width="15.28515625" bestFit="1" customWidth="1"/>
    <col min="3" max="3" width="15.28515625" customWidth="1"/>
    <col min="4" max="4" width="26.28515625" bestFit="1" customWidth="1"/>
    <col min="5" max="5" width="26.28515625" customWidth="1"/>
    <col min="6" max="6" width="16" bestFit="1" customWidth="1"/>
    <col min="7" max="7" width="16" customWidth="1"/>
    <col min="8" max="8" width="9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38</v>
      </c>
      <c r="D1" t="s">
        <v>2</v>
      </c>
      <c r="E1" t="s">
        <v>39</v>
      </c>
      <c r="F1" t="s">
        <v>3</v>
      </c>
      <c r="G1" t="s">
        <v>40</v>
      </c>
      <c r="H1" t="s">
        <v>4</v>
      </c>
      <c r="I1" t="s">
        <v>5</v>
      </c>
    </row>
    <row r="2" spans="1:9" x14ac:dyDescent="0.25">
      <c r="A2">
        <v>1</v>
      </c>
      <c r="B2" t="s">
        <v>6</v>
      </c>
      <c r="C2" t="str">
        <f>PROPER(TRIM(B2))</f>
        <v>John Smith</v>
      </c>
      <c r="D2" t="s">
        <v>7</v>
      </c>
      <c r="E2" t="str">
        <f>TRIM(D2)</f>
        <v>johnsmith@gmail.com</v>
      </c>
      <c r="F2" t="s">
        <v>8</v>
      </c>
      <c r="G2" t="str">
        <f>TRIM(F2)</f>
        <v>+961 70 123 456</v>
      </c>
      <c r="H2" t="s">
        <v>9</v>
      </c>
      <c r="I2">
        <v>250</v>
      </c>
    </row>
    <row r="3" spans="1:9" x14ac:dyDescent="0.25">
      <c r="A3">
        <v>2</v>
      </c>
      <c r="B3" t="s">
        <v>10</v>
      </c>
      <c r="C3" t="str">
        <f t="shared" ref="C3:C10" si="0">PROPER(TRIM(B3))</f>
        <v>Sarah Miller</v>
      </c>
      <c r="D3" t="s">
        <v>11</v>
      </c>
      <c r="E3" t="str">
        <f t="shared" ref="E3:E10" si="1">TRIM(D3)</f>
        <v>sarah.miller@gmail.com</v>
      </c>
      <c r="F3" t="s">
        <v>12</v>
      </c>
      <c r="G3" t="str">
        <f t="shared" ref="G3:G10" si="2">TRIM(F3)</f>
        <v>+1 202 555 0185</v>
      </c>
      <c r="H3" t="s">
        <v>13</v>
      </c>
      <c r="I3">
        <v>180</v>
      </c>
    </row>
    <row r="4" spans="1:9" x14ac:dyDescent="0.25">
      <c r="A4">
        <v>3</v>
      </c>
      <c r="B4" t="s">
        <v>14</v>
      </c>
      <c r="C4" t="str">
        <f t="shared" si="0"/>
        <v>Michael Brown</v>
      </c>
      <c r="D4" t="s">
        <v>15</v>
      </c>
      <c r="E4" t="str">
        <f t="shared" si="1"/>
        <v>michaelbrown@gmail.com</v>
      </c>
      <c r="F4" t="s">
        <v>16</v>
      </c>
      <c r="G4" t="str">
        <f t="shared" si="2"/>
        <v>+44 7700 900123</v>
      </c>
      <c r="H4" t="s">
        <v>17</v>
      </c>
      <c r="I4">
        <v>320</v>
      </c>
    </row>
    <row r="5" spans="1:9" x14ac:dyDescent="0.25">
      <c r="A5">
        <v>2</v>
      </c>
      <c r="B5" t="s">
        <v>18</v>
      </c>
      <c r="C5" t="str">
        <f t="shared" si="0"/>
        <v>Sarah Miller</v>
      </c>
      <c r="D5" t="s">
        <v>11</v>
      </c>
      <c r="E5" t="str">
        <f t="shared" si="1"/>
        <v>sarah.miller@gmail.com</v>
      </c>
      <c r="F5" t="s">
        <v>12</v>
      </c>
      <c r="G5" t="str">
        <f t="shared" si="2"/>
        <v>+1 202 555 0185</v>
      </c>
      <c r="H5" t="s">
        <v>13</v>
      </c>
      <c r="I5">
        <v>180</v>
      </c>
    </row>
    <row r="6" spans="1:9" x14ac:dyDescent="0.25">
      <c r="A6">
        <v>4</v>
      </c>
      <c r="B6" t="s">
        <v>19</v>
      </c>
      <c r="C6" t="str">
        <f t="shared" si="0"/>
        <v>David Wilson</v>
      </c>
      <c r="D6" t="s">
        <v>20</v>
      </c>
      <c r="E6" t="str">
        <f t="shared" si="1"/>
        <v>davidwilson@gmail.com</v>
      </c>
      <c r="F6" t="s">
        <v>21</v>
      </c>
      <c r="G6" t="str">
        <f t="shared" si="2"/>
        <v>+971 50 123 4567</v>
      </c>
      <c r="H6" t="s">
        <v>22</v>
      </c>
      <c r="I6">
        <v>145</v>
      </c>
    </row>
    <row r="7" spans="1:9" x14ac:dyDescent="0.25">
      <c r="A7">
        <v>5</v>
      </c>
      <c r="B7" t="s">
        <v>23</v>
      </c>
      <c r="C7" t="str">
        <f t="shared" si="0"/>
        <v>Emma Taylor</v>
      </c>
      <c r="D7" t="s">
        <v>24</v>
      </c>
      <c r="E7" t="str">
        <f t="shared" si="1"/>
        <v>emma.taylor@gmail.com</v>
      </c>
      <c r="F7" t="s">
        <v>25</v>
      </c>
      <c r="G7" t="str">
        <f t="shared" si="2"/>
        <v>+33 6 12 34 56 78</v>
      </c>
      <c r="H7" t="s">
        <v>26</v>
      </c>
      <c r="I7">
        <v>410</v>
      </c>
    </row>
    <row r="8" spans="1:9" x14ac:dyDescent="0.25">
      <c r="A8">
        <v>6</v>
      </c>
      <c r="B8" t="s">
        <v>27</v>
      </c>
      <c r="C8" t="str">
        <f t="shared" si="0"/>
        <v>Daniel Smith</v>
      </c>
      <c r="D8" t="s">
        <v>28</v>
      </c>
      <c r="E8" t="str">
        <f t="shared" si="1"/>
        <v>danielsmith@gmail.com</v>
      </c>
      <c r="F8" t="s">
        <v>29</v>
      </c>
      <c r="G8" t="str">
        <f t="shared" si="2"/>
        <v>+49 151 12345678</v>
      </c>
      <c r="H8" t="s">
        <v>30</v>
      </c>
      <c r="I8">
        <v>275</v>
      </c>
    </row>
    <row r="9" spans="1:9" x14ac:dyDescent="0.25">
      <c r="A9">
        <v>7</v>
      </c>
      <c r="B9" t="s">
        <v>31</v>
      </c>
      <c r="C9" t="str">
        <f t="shared" si="0"/>
        <v>Olivia Martin</v>
      </c>
      <c r="D9" t="s">
        <v>32</v>
      </c>
      <c r="E9" t="str">
        <f t="shared" si="1"/>
        <v>oliviamartin@gmail.com</v>
      </c>
      <c r="F9" t="s">
        <v>33</v>
      </c>
      <c r="G9" t="str">
        <f t="shared" si="2"/>
        <v>+39 333 1234567</v>
      </c>
      <c r="H9" t="s">
        <v>34</v>
      </c>
      <c r="I9">
        <v>195</v>
      </c>
    </row>
    <row r="10" spans="1:9" x14ac:dyDescent="0.25">
      <c r="A10">
        <v>8</v>
      </c>
      <c r="B10" t="s">
        <v>35</v>
      </c>
      <c r="C10" t="str">
        <f t="shared" si="0"/>
        <v>William Johnson</v>
      </c>
      <c r="D10" t="s">
        <v>36</v>
      </c>
      <c r="E10" t="str">
        <f t="shared" si="1"/>
        <v>williamjohnson@gmail.com</v>
      </c>
      <c r="F10" t="s">
        <v>37</v>
      </c>
      <c r="G10" t="str">
        <f t="shared" si="2"/>
        <v>+1 305 555 0198</v>
      </c>
      <c r="H10" t="s">
        <v>13</v>
      </c>
      <c r="I10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C18C-1114-45BA-B08C-D5A9106A7B82}">
  <dimension ref="A1:I11"/>
  <sheetViews>
    <sheetView tabSelected="1" workbookViewId="0">
      <selection activeCell="E18" sqref="E18"/>
    </sheetView>
  </sheetViews>
  <sheetFormatPr defaultRowHeight="15" x14ac:dyDescent="0.25"/>
  <cols>
    <col min="1" max="1" width="14.140625" bestFit="1" customWidth="1"/>
    <col min="2" max="2" width="15.28515625" bestFit="1" customWidth="1"/>
    <col min="3" max="3" width="15.7109375" bestFit="1" customWidth="1"/>
    <col min="4" max="4" width="26.28515625" bestFit="1" customWidth="1"/>
    <col min="5" max="5" width="26.28515625" customWidth="1"/>
    <col min="6" max="6" width="16" bestFit="1" customWidth="1"/>
    <col min="7" max="7" width="16" customWidth="1"/>
    <col min="8" max="8" width="10.28515625" bestFit="1" customWidth="1"/>
    <col min="9" max="9" width="16.140625" bestFit="1" customWidth="1"/>
  </cols>
  <sheetData>
    <row r="1" spans="1:9" ht="31.5" x14ac:dyDescent="0.6">
      <c r="A1" s="3" t="s">
        <v>41</v>
      </c>
      <c r="B1" s="3"/>
      <c r="C1" s="3"/>
      <c r="D1" s="3"/>
      <c r="E1" s="3"/>
      <c r="F1" s="3"/>
      <c r="G1" s="3"/>
      <c r="H1" s="3"/>
      <c r="I1" s="3"/>
    </row>
    <row r="2" spans="1:9" ht="21" x14ac:dyDescent="0.35">
      <c r="A2" s="2" t="s">
        <v>42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t="s">
        <v>0</v>
      </c>
      <c r="B3" t="s">
        <v>1</v>
      </c>
      <c r="C3" t="s">
        <v>38</v>
      </c>
      <c r="D3" t="s">
        <v>2</v>
      </c>
      <c r="E3" t="s">
        <v>39</v>
      </c>
      <c r="F3" t="s">
        <v>3</v>
      </c>
      <c r="G3" t="s">
        <v>40</v>
      </c>
      <c r="H3" t="s">
        <v>4</v>
      </c>
      <c r="I3" t="s">
        <v>5</v>
      </c>
    </row>
    <row r="4" spans="1:9" x14ac:dyDescent="0.25">
      <c r="A4">
        <v>1</v>
      </c>
      <c r="B4" t="s">
        <v>6</v>
      </c>
      <c r="C4" t="str">
        <f>PROPER(TRIM(B4))</f>
        <v>John Smith</v>
      </c>
      <c r="D4" t="s">
        <v>7</v>
      </c>
      <c r="E4" t="str">
        <f>TRIM(D4)</f>
        <v>johnsmith@gmail.com</v>
      </c>
      <c r="F4" t="s">
        <v>8</v>
      </c>
      <c r="G4" t="str">
        <f>TRIM(F4)</f>
        <v>+961 70 123 456</v>
      </c>
      <c r="H4" t="s">
        <v>9</v>
      </c>
      <c r="I4" s="1">
        <v>250</v>
      </c>
    </row>
    <row r="5" spans="1:9" x14ac:dyDescent="0.25">
      <c r="A5">
        <v>2</v>
      </c>
      <c r="B5" t="s">
        <v>10</v>
      </c>
      <c r="C5" t="str">
        <f>PROPER(TRIM(B5))</f>
        <v>Sarah Miller</v>
      </c>
      <c r="D5" t="s">
        <v>11</v>
      </c>
      <c r="E5" t="str">
        <f>TRIM(D5)</f>
        <v>sarah.miller@gmail.com</v>
      </c>
      <c r="F5" t="s">
        <v>12</v>
      </c>
      <c r="G5" t="str">
        <f>TRIM(F5)</f>
        <v>+1 202 555 0185</v>
      </c>
      <c r="H5" t="s">
        <v>13</v>
      </c>
      <c r="I5" s="1">
        <v>180</v>
      </c>
    </row>
    <row r="6" spans="1:9" x14ac:dyDescent="0.25">
      <c r="A6">
        <v>3</v>
      </c>
      <c r="B6" t="s">
        <v>14</v>
      </c>
      <c r="C6" t="str">
        <f>PROPER(TRIM(B6))</f>
        <v>Michael Brown</v>
      </c>
      <c r="D6" t="s">
        <v>15</v>
      </c>
      <c r="E6" t="str">
        <f>TRIM(D6)</f>
        <v>michaelbrown@gmail.com</v>
      </c>
      <c r="F6" t="s">
        <v>16</v>
      </c>
      <c r="G6" t="str">
        <f>TRIM(F6)</f>
        <v>+44 7700 900123</v>
      </c>
      <c r="H6" t="s">
        <v>17</v>
      </c>
      <c r="I6" s="1">
        <v>320</v>
      </c>
    </row>
    <row r="7" spans="1:9" x14ac:dyDescent="0.25">
      <c r="A7">
        <v>4</v>
      </c>
      <c r="B7" t="s">
        <v>19</v>
      </c>
      <c r="C7" t="str">
        <f>PROPER(TRIM(B7))</f>
        <v>David Wilson</v>
      </c>
      <c r="D7" t="s">
        <v>20</v>
      </c>
      <c r="E7" t="str">
        <f>TRIM(D7)</f>
        <v>davidwilson@gmail.com</v>
      </c>
      <c r="F7" t="s">
        <v>21</v>
      </c>
      <c r="G7" t="str">
        <f>TRIM(F7)</f>
        <v>+971 50 123 4567</v>
      </c>
      <c r="H7" t="s">
        <v>22</v>
      </c>
      <c r="I7" s="1">
        <v>145</v>
      </c>
    </row>
    <row r="8" spans="1:9" x14ac:dyDescent="0.25">
      <c r="A8">
        <v>5</v>
      </c>
      <c r="B8" t="s">
        <v>23</v>
      </c>
      <c r="C8" t="str">
        <f>PROPER(TRIM(B8))</f>
        <v>Emma Taylor</v>
      </c>
      <c r="D8" t="s">
        <v>24</v>
      </c>
      <c r="E8" t="str">
        <f>TRIM(D8)</f>
        <v>emma.taylor@gmail.com</v>
      </c>
      <c r="F8" t="s">
        <v>25</v>
      </c>
      <c r="G8" t="str">
        <f>TRIM(F8)</f>
        <v>+33 6 12 34 56 78</v>
      </c>
      <c r="H8" t="s">
        <v>26</v>
      </c>
      <c r="I8" s="1">
        <v>410</v>
      </c>
    </row>
    <row r="9" spans="1:9" x14ac:dyDescent="0.25">
      <c r="A9">
        <v>6</v>
      </c>
      <c r="B9" t="s">
        <v>27</v>
      </c>
      <c r="C9" t="str">
        <f>PROPER(TRIM(B9))</f>
        <v>Daniel Smith</v>
      </c>
      <c r="D9" t="s">
        <v>28</v>
      </c>
      <c r="E9" t="str">
        <f>TRIM(D9)</f>
        <v>danielsmith@gmail.com</v>
      </c>
      <c r="F9" t="s">
        <v>29</v>
      </c>
      <c r="G9" t="str">
        <f>TRIM(F9)</f>
        <v>+49 151 12345678</v>
      </c>
      <c r="H9" t="s">
        <v>30</v>
      </c>
      <c r="I9" s="1">
        <v>275</v>
      </c>
    </row>
    <row r="10" spans="1:9" x14ac:dyDescent="0.25">
      <c r="A10">
        <v>7</v>
      </c>
      <c r="B10" t="s">
        <v>31</v>
      </c>
      <c r="C10" t="str">
        <f>PROPER(TRIM(B10))</f>
        <v>Olivia Martin</v>
      </c>
      <c r="D10" t="s">
        <v>32</v>
      </c>
      <c r="E10" t="str">
        <f>TRIM(D10)</f>
        <v>oliviamartin@gmail.com</v>
      </c>
      <c r="F10" t="s">
        <v>33</v>
      </c>
      <c r="G10" t="str">
        <f>TRIM(F10)</f>
        <v>+39 333 1234567</v>
      </c>
      <c r="H10" t="s">
        <v>34</v>
      </c>
      <c r="I10" s="1">
        <v>195</v>
      </c>
    </row>
    <row r="11" spans="1:9" x14ac:dyDescent="0.25">
      <c r="A11">
        <v>8</v>
      </c>
      <c r="B11" t="s">
        <v>35</v>
      </c>
      <c r="C11" t="str">
        <f>PROPER(TRIM(B11))</f>
        <v>William Johnson</v>
      </c>
      <c r="D11" t="s">
        <v>36</v>
      </c>
      <c r="E11" t="str">
        <f>TRIM(D11)</f>
        <v>williamjohnson@gmail.com</v>
      </c>
      <c r="F11" t="s">
        <v>37</v>
      </c>
      <c r="G11" t="str">
        <f>TRIM(F11)</f>
        <v>+1 305 555 0198</v>
      </c>
      <c r="H11" t="s">
        <v>13</v>
      </c>
      <c r="I11" s="1">
        <v>365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ayad tihfe</dc:creator>
  <cp:lastModifiedBy>ayad tihfe</cp:lastModifiedBy>
  <dcterms:created xsi:type="dcterms:W3CDTF">2015-06-05T18:17:20Z</dcterms:created>
  <dcterms:modified xsi:type="dcterms:W3CDTF">2026-08-14T01:08:04Z</dcterms:modified>
</cp:coreProperties>
</file>